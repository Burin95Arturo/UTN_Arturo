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855" windowHeight="870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N21" i="1" l="1" a="1"/>
  <c r="N21" i="1"/>
  <c r="O21" i="1"/>
  <c r="N22" i="1"/>
  <c r="O22" i="1"/>
  <c r="N23" i="1"/>
  <c r="O23" i="1"/>
  <c r="N24" i="1"/>
  <c r="O24" i="1"/>
  <c r="G29" i="1" l="1"/>
  <c r="F29" i="1"/>
  <c r="G22" i="1"/>
  <c r="F22" i="1"/>
  <c r="G16" i="1"/>
  <c r="F4" i="1"/>
  <c r="F16" i="1"/>
  <c r="G4" i="1"/>
</calcChain>
</file>

<file path=xl/sharedStrings.xml><?xml version="1.0" encoding="utf-8"?>
<sst xmlns="http://schemas.openxmlformats.org/spreadsheetml/2006/main" count="38" uniqueCount="7">
  <si>
    <t>Tension</t>
  </si>
  <si>
    <t>100mA</t>
  </si>
  <si>
    <t>500mA</t>
  </si>
  <si>
    <t>1A</t>
  </si>
  <si>
    <t>3A</t>
  </si>
  <si>
    <t>Promedio</t>
  </si>
  <si>
    <t>Corriente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</si>
</sst>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00"/>
    <numFmt numFmtId="165" formatCode="#,##0.000000"/>
    <numFmt numFmtId="166" formatCode="0.000"/>
    <numFmt numFmtId="167" formatCode="0.0000"/>
    <numFmt numFmtId="168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trendlineType val="linear"/>
            <c:dispRSqr val="0"/>
            <c:dispEq val="1"/>
            <c:trendlineLbl>
              <c:layout>
                <c:manualLayout>
                  <c:x val="0.44979986876640421"/>
                  <c:y val="-5.5371463983668705E-2"/>
                </c:manualLayout>
              </c:layout>
              <c:numFmt formatCode="General" sourceLinked="0"/>
            </c:trendlineLbl>
          </c:trendline>
          <c:xVal>
            <c:numRef>
              <c:f>Hoja1!$K$3:$K$25</c:f>
              <c:numCache>
                <c:formatCode>General</c:formatCode>
                <c:ptCount val="23"/>
                <c:pt idx="0">
                  <c:v>99.18</c:v>
                </c:pt>
                <c:pt idx="1">
                  <c:v>99</c:v>
                </c:pt>
                <c:pt idx="2">
                  <c:v>98.9</c:v>
                </c:pt>
                <c:pt idx="3">
                  <c:v>98.92</c:v>
                </c:pt>
                <c:pt idx="4">
                  <c:v>98.99</c:v>
                </c:pt>
                <c:pt idx="5">
                  <c:v>98.98</c:v>
                </c:pt>
                <c:pt idx="6">
                  <c:v>98.91</c:v>
                </c:pt>
                <c:pt idx="7">
                  <c:v>98.99</c:v>
                </c:pt>
                <c:pt idx="8">
                  <c:v>98.95</c:v>
                </c:pt>
                <c:pt idx="9">
                  <c:v>98.97</c:v>
                </c:pt>
                <c:pt idx="10">
                  <c:v>505</c:v>
                </c:pt>
                <c:pt idx="11">
                  <c:v>505</c:v>
                </c:pt>
                <c:pt idx="12">
                  <c:v>505</c:v>
                </c:pt>
                <c:pt idx="13">
                  <c:v>505</c:v>
                </c:pt>
                <c:pt idx="14">
                  <c:v>1005</c:v>
                </c:pt>
                <c:pt idx="15">
                  <c:v>1005</c:v>
                </c:pt>
                <c:pt idx="16">
                  <c:v>1005</c:v>
                </c:pt>
                <c:pt idx="17">
                  <c:v>1005</c:v>
                </c:pt>
                <c:pt idx="18">
                  <c:v>1004</c:v>
                </c:pt>
                <c:pt idx="19">
                  <c:v>3009</c:v>
                </c:pt>
                <c:pt idx="20">
                  <c:v>3009</c:v>
                </c:pt>
                <c:pt idx="21">
                  <c:v>3009</c:v>
                </c:pt>
                <c:pt idx="22">
                  <c:v>3008</c:v>
                </c:pt>
              </c:numCache>
            </c:numRef>
          </c:xVal>
          <c:yVal>
            <c:numRef>
              <c:f>Hoja1!$L$3:$L$25</c:f>
              <c:numCache>
                <c:formatCode>General</c:formatCode>
                <c:ptCount val="23"/>
                <c:pt idx="0">
                  <c:v>2.5129999999999999</c:v>
                </c:pt>
                <c:pt idx="1">
                  <c:v>2.5129999999999999</c:v>
                </c:pt>
                <c:pt idx="2">
                  <c:v>2.5129999999999999</c:v>
                </c:pt>
                <c:pt idx="3">
                  <c:v>2.5129999999999999</c:v>
                </c:pt>
                <c:pt idx="4">
                  <c:v>2.5129999999999999</c:v>
                </c:pt>
                <c:pt idx="5">
                  <c:v>2.5129999999999999</c:v>
                </c:pt>
                <c:pt idx="6">
                  <c:v>2.5129999999999999</c:v>
                </c:pt>
                <c:pt idx="7">
                  <c:v>2.5129999999999999</c:v>
                </c:pt>
                <c:pt idx="8">
                  <c:v>2.5129999999999999</c:v>
                </c:pt>
                <c:pt idx="9">
                  <c:v>2.5129999999999999</c:v>
                </c:pt>
                <c:pt idx="10">
                  <c:v>2.589</c:v>
                </c:pt>
                <c:pt idx="11">
                  <c:v>2.589</c:v>
                </c:pt>
                <c:pt idx="12">
                  <c:v>2.589</c:v>
                </c:pt>
                <c:pt idx="13">
                  <c:v>2.589</c:v>
                </c:pt>
                <c:pt idx="14">
                  <c:v>2.6760000000000002</c:v>
                </c:pt>
                <c:pt idx="15">
                  <c:v>2.677</c:v>
                </c:pt>
                <c:pt idx="16">
                  <c:v>2.677</c:v>
                </c:pt>
                <c:pt idx="17">
                  <c:v>2.677</c:v>
                </c:pt>
                <c:pt idx="18">
                  <c:v>2.677</c:v>
                </c:pt>
                <c:pt idx="19">
                  <c:v>3.06</c:v>
                </c:pt>
                <c:pt idx="20">
                  <c:v>3.0590000000000002</c:v>
                </c:pt>
                <c:pt idx="21">
                  <c:v>3.06</c:v>
                </c:pt>
                <c:pt idx="22">
                  <c:v>3.0590000000000002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55904"/>
        <c:axId val="72553984"/>
      </c:scatterChart>
      <c:valAx>
        <c:axId val="7255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553984"/>
        <c:crosses val="autoZero"/>
        <c:crossBetween val="midCat"/>
      </c:valAx>
      <c:valAx>
        <c:axId val="72553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555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</xdr:row>
      <xdr:rowOff>23812</xdr:rowOff>
    </xdr:from>
    <xdr:to>
      <xdr:col>19</xdr:col>
      <xdr:colOff>9525</xdr:colOff>
      <xdr:row>16</xdr:row>
      <xdr:rowOff>100012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"/>
  <sheetViews>
    <sheetView tabSelected="1" topLeftCell="E1" zoomScaleNormal="100" workbookViewId="0">
      <selection activeCell="P25" sqref="P25"/>
    </sheetView>
  </sheetViews>
  <sheetFormatPr baseColWidth="10" defaultRowHeight="15" x14ac:dyDescent="0.25"/>
  <cols>
    <col min="3" max="3" width="14.5703125" customWidth="1"/>
    <col min="11" max="11" width="13.5703125" customWidth="1"/>
    <col min="14" max="14" width="13.5703125" bestFit="1" customWidth="1"/>
    <col min="15" max="15" width="11.85546875" bestFit="1" customWidth="1"/>
  </cols>
  <sheetData>
    <row r="2" spans="2:12" x14ac:dyDescent="0.25">
      <c r="C2" t="s">
        <v>6</v>
      </c>
      <c r="D2" t="s">
        <v>0</v>
      </c>
      <c r="K2" t="s">
        <v>6</v>
      </c>
      <c r="L2" t="s">
        <v>0</v>
      </c>
    </row>
    <row r="3" spans="2:12" x14ac:dyDescent="0.25">
      <c r="B3" t="s">
        <v>1</v>
      </c>
      <c r="C3" s="3">
        <v>99.18</v>
      </c>
      <c r="D3" s="3">
        <v>2.5129999999999999</v>
      </c>
      <c r="F3" t="s">
        <v>5</v>
      </c>
      <c r="K3" s="3">
        <v>99.18</v>
      </c>
      <c r="L3" s="3">
        <v>2.5129999999999999</v>
      </c>
    </row>
    <row r="4" spans="2:12" x14ac:dyDescent="0.25">
      <c r="B4" t="s">
        <v>1</v>
      </c>
      <c r="C4" s="3">
        <v>99</v>
      </c>
      <c r="D4" s="3">
        <v>2.5129999999999999</v>
      </c>
      <c r="F4" s="2">
        <f>AVERAGE(C3:C12)</f>
        <v>98.979000000000013</v>
      </c>
      <c r="G4" s="4">
        <f>AVERAGE(D3:D12)</f>
        <v>2.5129999999999995</v>
      </c>
      <c r="K4" s="3">
        <v>99</v>
      </c>
      <c r="L4" s="3">
        <v>2.5129999999999999</v>
      </c>
    </row>
    <row r="5" spans="2:12" x14ac:dyDescent="0.25">
      <c r="B5" t="s">
        <v>1</v>
      </c>
      <c r="C5" s="3">
        <v>98.9</v>
      </c>
      <c r="D5" s="3">
        <v>2.5129999999999999</v>
      </c>
      <c r="K5" s="3">
        <v>98.9</v>
      </c>
      <c r="L5" s="3">
        <v>2.5129999999999999</v>
      </c>
    </row>
    <row r="6" spans="2:12" x14ac:dyDescent="0.25">
      <c r="B6" t="s">
        <v>1</v>
      </c>
      <c r="C6" s="3">
        <v>98.92</v>
      </c>
      <c r="D6" s="3">
        <v>2.5129999999999999</v>
      </c>
      <c r="K6" s="3">
        <v>98.92</v>
      </c>
      <c r="L6" s="3">
        <v>2.5129999999999999</v>
      </c>
    </row>
    <row r="7" spans="2:12" x14ac:dyDescent="0.25">
      <c r="B7" t="s">
        <v>1</v>
      </c>
      <c r="C7" s="3">
        <v>98.99</v>
      </c>
      <c r="D7" s="3">
        <v>2.5129999999999999</v>
      </c>
      <c r="K7" s="3">
        <v>98.99</v>
      </c>
      <c r="L7" s="3">
        <v>2.5129999999999999</v>
      </c>
    </row>
    <row r="8" spans="2:12" x14ac:dyDescent="0.25">
      <c r="B8" t="s">
        <v>1</v>
      </c>
      <c r="C8" s="3">
        <v>98.98</v>
      </c>
      <c r="D8" s="3">
        <v>2.5129999999999999</v>
      </c>
      <c r="K8" s="3">
        <v>98.98</v>
      </c>
      <c r="L8" s="3">
        <v>2.5129999999999999</v>
      </c>
    </row>
    <row r="9" spans="2:12" x14ac:dyDescent="0.25">
      <c r="B9" t="s">
        <v>1</v>
      </c>
      <c r="C9" s="3">
        <v>98.91</v>
      </c>
      <c r="D9" s="3">
        <v>2.5129999999999999</v>
      </c>
      <c r="K9" s="3">
        <v>98.91</v>
      </c>
      <c r="L9" s="3">
        <v>2.5129999999999999</v>
      </c>
    </row>
    <row r="10" spans="2:12" x14ac:dyDescent="0.25">
      <c r="B10" t="s">
        <v>1</v>
      </c>
      <c r="C10" s="3">
        <v>98.99</v>
      </c>
      <c r="D10" s="3">
        <v>2.5129999999999999</v>
      </c>
      <c r="K10" s="3">
        <v>98.99</v>
      </c>
      <c r="L10" s="3">
        <v>2.5129999999999999</v>
      </c>
    </row>
    <row r="11" spans="2:12" x14ac:dyDescent="0.25">
      <c r="B11" t="s">
        <v>1</v>
      </c>
      <c r="C11" s="3">
        <v>98.95</v>
      </c>
      <c r="D11" s="3">
        <v>2.5129999999999999</v>
      </c>
      <c r="K11" s="3">
        <v>98.95</v>
      </c>
      <c r="L11" s="3">
        <v>2.5129999999999999</v>
      </c>
    </row>
    <row r="12" spans="2:12" x14ac:dyDescent="0.25">
      <c r="B12" t="s">
        <v>1</v>
      </c>
      <c r="C12" s="3">
        <v>98.97</v>
      </c>
      <c r="D12" s="3">
        <v>2.5129999999999999</v>
      </c>
      <c r="K12" s="3">
        <v>98.97</v>
      </c>
      <c r="L12" s="3">
        <v>2.5129999999999999</v>
      </c>
    </row>
    <row r="13" spans="2:12" x14ac:dyDescent="0.25">
      <c r="K13" s="3">
        <v>505</v>
      </c>
      <c r="L13" s="3">
        <v>2.589</v>
      </c>
    </row>
    <row r="14" spans="2:12" x14ac:dyDescent="0.25">
      <c r="C14" t="s">
        <v>6</v>
      </c>
      <c r="D14" t="s">
        <v>0</v>
      </c>
      <c r="K14" s="3">
        <v>505</v>
      </c>
      <c r="L14" s="3">
        <v>2.589</v>
      </c>
    </row>
    <row r="15" spans="2:12" x14ac:dyDescent="0.25">
      <c r="B15" t="s">
        <v>2</v>
      </c>
      <c r="C15" s="3">
        <v>505</v>
      </c>
      <c r="D15" s="3">
        <v>2.589</v>
      </c>
      <c r="F15" t="s">
        <v>5</v>
      </c>
      <c r="K15" s="3">
        <v>505</v>
      </c>
      <c r="L15" s="3">
        <v>2.589</v>
      </c>
    </row>
    <row r="16" spans="2:12" x14ac:dyDescent="0.25">
      <c r="B16" t="s">
        <v>2</v>
      </c>
      <c r="C16" s="3">
        <v>505</v>
      </c>
      <c r="D16" s="3">
        <v>2.589</v>
      </c>
      <c r="F16">
        <f>AVERAGE(C15:C18)</f>
        <v>505</v>
      </c>
      <c r="G16" s="5">
        <f>AVERAGE(D15:D18)</f>
        <v>2.589</v>
      </c>
      <c r="K16" s="3">
        <v>505</v>
      </c>
      <c r="L16" s="3">
        <v>2.589</v>
      </c>
    </row>
    <row r="17" spans="2:15" x14ac:dyDescent="0.25">
      <c r="B17" t="s">
        <v>2</v>
      </c>
      <c r="C17" s="3">
        <v>505</v>
      </c>
      <c r="D17" s="3">
        <v>2.589</v>
      </c>
      <c r="K17" s="3">
        <v>1005</v>
      </c>
      <c r="L17" s="3">
        <v>2.6760000000000002</v>
      </c>
    </row>
    <row r="18" spans="2:15" x14ac:dyDescent="0.25">
      <c r="B18" t="s">
        <v>2</v>
      </c>
      <c r="C18" s="3">
        <v>505</v>
      </c>
      <c r="D18" s="3">
        <v>2.589</v>
      </c>
      <c r="K18" s="3">
        <v>1005</v>
      </c>
      <c r="L18" s="3">
        <v>2.677</v>
      </c>
    </row>
    <row r="19" spans="2:15" x14ac:dyDescent="0.25">
      <c r="D19" s="1"/>
      <c r="K19" s="3">
        <v>1005</v>
      </c>
      <c r="L19" s="3">
        <v>2.677</v>
      </c>
    </row>
    <row r="20" spans="2:15" x14ac:dyDescent="0.25">
      <c r="C20" t="s">
        <v>6</v>
      </c>
      <c r="D20" t="s">
        <v>0</v>
      </c>
      <c r="K20" s="3">
        <v>1005</v>
      </c>
      <c r="L20" s="3">
        <v>2.677</v>
      </c>
    </row>
    <row r="21" spans="2:15" x14ac:dyDescent="0.25">
      <c r="B21" t="s">
        <v>3</v>
      </c>
      <c r="C21" s="3">
        <v>1005</v>
      </c>
      <c r="D21" s="3">
        <v>2.6760000000000002</v>
      </c>
      <c r="F21" t="s">
        <v>5</v>
      </c>
      <c r="K21" s="3">
        <v>1004</v>
      </c>
      <c r="L21" s="3">
        <v>2.677</v>
      </c>
      <c r="N21" s="8">
        <f t="array" ref="N21:O24">LINEST(L3:L25,K3:K25,TRUE,TRUE)</f>
        <v>1.8766241153689634E-4</v>
      </c>
      <c r="O21" s="8">
        <v>2.4931235857379326</v>
      </c>
    </row>
    <row r="22" spans="2:15" x14ac:dyDescent="0.25">
      <c r="B22" t="s">
        <v>3</v>
      </c>
      <c r="C22" s="3">
        <v>1005</v>
      </c>
      <c r="D22" s="3">
        <v>2.677</v>
      </c>
      <c r="F22">
        <f>AVERAGE(C21:C25)</f>
        <v>1004.8</v>
      </c>
      <c r="G22">
        <f>AVERAGE(D21:D25)</f>
        <v>2.6767999999999996</v>
      </c>
      <c r="K22" s="3">
        <v>3009</v>
      </c>
      <c r="L22" s="3">
        <v>3.06</v>
      </c>
      <c r="N22" s="8">
        <v>5.4518567392640364E-7</v>
      </c>
      <c r="O22" s="8">
        <v>7.4001924744230099E-4</v>
      </c>
    </row>
    <row r="23" spans="2:15" x14ac:dyDescent="0.25">
      <c r="B23" t="s">
        <v>3</v>
      </c>
      <c r="C23" s="3">
        <v>1005</v>
      </c>
      <c r="D23" s="3">
        <v>2.677</v>
      </c>
      <c r="K23" s="3">
        <v>3009</v>
      </c>
      <c r="L23" s="3">
        <v>3.0590000000000002</v>
      </c>
      <c r="N23" s="8">
        <v>0.99982279473825253</v>
      </c>
      <c r="O23" s="8">
        <v>2.71857734787083E-3</v>
      </c>
    </row>
    <row r="24" spans="2:15" x14ac:dyDescent="0.25">
      <c r="B24" t="s">
        <v>3</v>
      </c>
      <c r="C24" s="3">
        <v>1005</v>
      </c>
      <c r="D24" s="3">
        <v>2.677</v>
      </c>
      <c r="K24" s="3">
        <v>3009</v>
      </c>
      <c r="L24" s="3">
        <v>3.06</v>
      </c>
      <c r="N24" s="8">
        <v>118485.63909702984</v>
      </c>
      <c r="O24" s="8">
        <v>21</v>
      </c>
    </row>
    <row r="25" spans="2:15" x14ac:dyDescent="0.25">
      <c r="B25" t="s">
        <v>3</v>
      </c>
      <c r="C25" s="3">
        <v>1004</v>
      </c>
      <c r="D25" s="3">
        <v>2.677</v>
      </c>
      <c r="K25" s="3">
        <v>3008</v>
      </c>
      <c r="L25" s="3">
        <v>3.0590000000000002</v>
      </c>
    </row>
    <row r="27" spans="2:15" x14ac:dyDescent="0.25">
      <c r="C27" t="s">
        <v>6</v>
      </c>
      <c r="D27" t="s">
        <v>0</v>
      </c>
    </row>
    <row r="28" spans="2:15" x14ac:dyDescent="0.25">
      <c r="B28" t="s">
        <v>4</v>
      </c>
      <c r="C28" s="3">
        <v>3046</v>
      </c>
      <c r="D28" s="3">
        <v>3.0550000000000002</v>
      </c>
      <c r="F28" t="s">
        <v>5</v>
      </c>
    </row>
    <row r="29" spans="2:15" x14ac:dyDescent="0.25">
      <c r="B29" t="s">
        <v>4</v>
      </c>
      <c r="C29" s="3">
        <v>3009</v>
      </c>
      <c r="D29" s="3">
        <v>3.06</v>
      </c>
      <c r="F29" s="6">
        <f>AVERAGE(C28:C32)</f>
        <v>3016.2</v>
      </c>
      <c r="G29" s="7">
        <f>AVERAGE(D28:D32)</f>
        <v>3.0585999999999998</v>
      </c>
    </row>
    <row r="30" spans="2:15" x14ac:dyDescent="0.25">
      <c r="B30" t="s">
        <v>4</v>
      </c>
      <c r="C30" s="3">
        <v>3009</v>
      </c>
      <c r="D30" s="3">
        <v>3.0590000000000002</v>
      </c>
    </row>
    <row r="31" spans="2:15" x14ac:dyDescent="0.25">
      <c r="B31" t="s">
        <v>4</v>
      </c>
      <c r="C31" s="3">
        <v>3009</v>
      </c>
      <c r="D31" s="3">
        <v>3.06</v>
      </c>
    </row>
    <row r="32" spans="2:15" x14ac:dyDescent="0.25">
      <c r="B32" t="s">
        <v>4</v>
      </c>
      <c r="C32" s="3">
        <v>3008</v>
      </c>
      <c r="D32" s="3">
        <v>3.0590000000000002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</dc:creator>
  <cp:lastModifiedBy>Arturo</cp:lastModifiedBy>
  <dcterms:created xsi:type="dcterms:W3CDTF">2019-05-10T11:50:25Z</dcterms:created>
  <dcterms:modified xsi:type="dcterms:W3CDTF">2019-05-11T00:40:42Z</dcterms:modified>
</cp:coreProperties>
</file>